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esktop\Research\BinderAnalysis\data\"/>
    </mc:Choice>
  </mc:AlternateContent>
  <xr:revisionPtr revIDLastSave="0" documentId="8_{3D758C84-3BE1-49BB-8ED6-69B742795B87}" xr6:coauthVersionLast="47" xr6:coauthVersionMax="47" xr10:uidLastSave="{00000000-0000-0000-0000-000000000000}"/>
  <bookViews>
    <workbookView xWindow="-120" yWindow="-120" windowWidth="29040" windowHeight="15840" xr2:uid="{D305BC44-3F4E-4696-976D-957136205432}"/>
  </bookViews>
  <sheets>
    <sheet name="metrics_summary" sheetId="1" r:id="rId1"/>
  </sheets>
  <calcPr calcId="0"/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</calcChain>
</file>

<file path=xl/sharedStrings.xml><?xml version="1.0" encoding="utf-8"?>
<sst xmlns="http://schemas.openxmlformats.org/spreadsheetml/2006/main" count="60" uniqueCount="60">
  <si>
    <t>metric</t>
  </si>
  <si>
    <t>pearson_p</t>
  </si>
  <si>
    <t>spearman_p</t>
  </si>
  <si>
    <t>effect_r</t>
  </si>
  <si>
    <t>effect_p</t>
  </si>
  <si>
    <t>roc_auc</t>
  </si>
  <si>
    <t>pr_auc</t>
  </si>
  <si>
    <t>chai_ipsae_ab_asym</t>
  </si>
  <si>
    <t>chai_iptm_d0chn_ab_asym</t>
  </si>
  <si>
    <t>chai_ipsae_d0chn_ab_max</t>
  </si>
  <si>
    <t>chai_ipsae_d0chn_ba_asym</t>
  </si>
  <si>
    <t>chai_ipsae_d0chn_ab_asym</t>
  </si>
  <si>
    <t>chai_lis_ab_asym</t>
  </si>
  <si>
    <t>chai_ipsae_d0dom_ab_asym</t>
  </si>
  <si>
    <t>chai_ipsae_d0dom_ab_max</t>
  </si>
  <si>
    <t>chai_ipsae_d0dom_ba_asym</t>
  </si>
  <si>
    <t>esm_pll_avg</t>
  </si>
  <si>
    <t>similarity_check</t>
  </si>
  <si>
    <t>chai_lis_ab_max</t>
  </si>
  <si>
    <t>chai_ipsae_ab_max</t>
  </si>
  <si>
    <t>chai_ipsae_ba_asym</t>
  </si>
  <si>
    <t>chai_nres2_ab_asym</t>
  </si>
  <si>
    <t>chai_lis_ba_asym</t>
  </si>
  <si>
    <t>chai_nres2_ab_max</t>
  </si>
  <si>
    <t>chai_nres1_ba_asym</t>
  </si>
  <si>
    <t>chai_pdockq2_ba_asym</t>
  </si>
  <si>
    <t>chai_pdockq2_ab_max</t>
  </si>
  <si>
    <t>chai_pdockq2_ab_asym</t>
  </si>
  <si>
    <t>chai_iptm_d0chn_ba_asym</t>
  </si>
  <si>
    <t>chai_iptm_d0chn_ab_max</t>
  </si>
  <si>
    <t>synteract3_multi</t>
  </si>
  <si>
    <t>chai_nres1_ab_max</t>
  </si>
  <si>
    <t>chai_nres1_ab_asym</t>
  </si>
  <si>
    <t>chai_nres2_ba_asym</t>
  </si>
  <si>
    <t>esm_pll</t>
  </si>
  <si>
    <t>plddt</t>
  </si>
  <si>
    <t>chai_pdockq_ab_asym</t>
  </si>
  <si>
    <t>chai_pdockq_ba_asym</t>
  </si>
  <si>
    <t>chai_pdockq_ab_max</t>
  </si>
  <si>
    <t>iptm</t>
  </si>
  <si>
    <t>chai_iptm</t>
  </si>
  <si>
    <t>chai_aggregate_score</t>
  </si>
  <si>
    <t>chai_plddt</t>
  </si>
  <si>
    <t>chai_dist2_ba_asym</t>
  </si>
  <si>
    <t>chai_dist1_ab_max</t>
  </si>
  <si>
    <t>chai_dist1_ab_asym</t>
  </si>
  <si>
    <t>chai_ptm</t>
  </si>
  <si>
    <t>synteract3_human</t>
  </si>
  <si>
    <t>chai_dist2_ab_max</t>
  </si>
  <si>
    <t>chai_dist1_ba_asym</t>
  </si>
  <si>
    <t>chai_dist2_ab_asym</t>
  </si>
  <si>
    <t>ppi-probability</t>
  </si>
  <si>
    <t>prodigy_ppkd_af2</t>
  </si>
  <si>
    <t>prodigy_ppkd_chai</t>
  </si>
  <si>
    <t>predicted-pKd</t>
  </si>
  <si>
    <t>pae_interaction</t>
  </si>
  <si>
    <t>pearson</t>
  </si>
  <si>
    <t>spearman</t>
  </si>
  <si>
    <t>pearson_abs</t>
  </si>
  <si>
    <t>spearman_abs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</si>
</sst>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5027-F9CA-40E9-AB39-2590AD32AEFB}">
  <dimension ref="A1:K50"/>
  <sheetViews>
    <sheetView tabSelected="1" workbookViewId="0">
      <selection activeCell="A26" sqref="A26"/>
    </sheetView>
  </sheetViews>
  <sheetFormatPr defaultRowHeight="15" x14ac:dyDescent="0.25"/>
  <cols>
    <col min="1" max="1" width="26.85546875" bestFit="1" customWidth="1"/>
    <col min="2" max="3" width="12.7109375" bestFit="1" customWidth="1"/>
    <col min="4" max="4" width="12.42578125" bestFit="1" customWidth="1"/>
    <col min="5" max="5" width="14.28515625" bestFit="1" customWidth="1"/>
    <col min="9" max="10" width="12" bestFit="1" customWidth="1"/>
  </cols>
  <sheetData>
    <row r="1" spans="1:11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3</v>
      </c>
      <c r="G1" t="s">
        <v>5</v>
      </c>
      <c r="H1" t="s">
        <v>6</v>
      </c>
      <c r="I1" t="s">
        <v>1</v>
      </c>
      <c r="J1" t="s">
        <v>2</v>
      </c>
      <c r="K1" t="s">
        <v>4</v>
      </c>
    </row>
    <row r="2" spans="1:11" x14ac:dyDescent="0.25">
      <c r="A2" s="2" t="s">
        <v>7</v>
      </c>
      <c r="B2">
        <v>-3.8107475000000002E-2</v>
      </c>
      <c r="C2">
        <v>3.6596189999999998E-3</v>
      </c>
      <c r="D2">
        <f>ABS(B2)</f>
        <v>3.8107475000000002E-2</v>
      </c>
      <c r="E2">
        <f>ABS(C2)</f>
        <v>3.6596189999999998E-3</v>
      </c>
      <c r="F2">
        <v>0.40551760399999998</v>
      </c>
      <c r="G2">
        <v>0.70275880199999996</v>
      </c>
      <c r="H2">
        <v>0.337856877</v>
      </c>
      <c r="I2">
        <v>0.78237784200000005</v>
      </c>
      <c r="J2">
        <v>0.97884485399999999</v>
      </c>
      <c r="K2" s="1">
        <v>4.9800000000000004E-7</v>
      </c>
    </row>
    <row r="3" spans="1:11" x14ac:dyDescent="0.25">
      <c r="A3" s="3" t="s">
        <v>8</v>
      </c>
      <c r="B3">
        <v>-2.8717889E-2</v>
      </c>
      <c r="C3">
        <v>4.4616491000000001E-2</v>
      </c>
      <c r="D3">
        <f t="shared" ref="D3:E50" si="0">ABS(B3)</f>
        <v>2.8717889E-2</v>
      </c>
      <c r="E3">
        <f t="shared" si="0"/>
        <v>4.4616491000000001E-2</v>
      </c>
      <c r="F3">
        <v>0.404729375</v>
      </c>
      <c r="G3">
        <v>0.70236468699999999</v>
      </c>
      <c r="H3">
        <v>0.31611275</v>
      </c>
      <c r="I3">
        <v>0.83512857299999999</v>
      </c>
      <c r="J3">
        <v>0.74635762400000005</v>
      </c>
      <c r="K3" s="1">
        <v>1.42E-6</v>
      </c>
    </row>
    <row r="4" spans="1:11" x14ac:dyDescent="0.25">
      <c r="A4" t="s">
        <v>9</v>
      </c>
      <c r="B4">
        <v>-9.9965561999999994E-2</v>
      </c>
      <c r="C4">
        <v>-5.7068318999999999E-2</v>
      </c>
      <c r="D4">
        <f t="shared" si="0"/>
        <v>9.9965561999999994E-2</v>
      </c>
      <c r="E4">
        <f t="shared" si="0"/>
        <v>5.7068318999999999E-2</v>
      </c>
      <c r="F4">
        <v>0.41839201300000001</v>
      </c>
      <c r="G4">
        <v>0.70919600599999999</v>
      </c>
      <c r="H4">
        <v>0.28858515699999998</v>
      </c>
      <c r="I4">
        <v>0.46774186899999998</v>
      </c>
      <c r="J4">
        <v>0.67898657200000001</v>
      </c>
      <c r="K4" s="1">
        <v>2.4499999999999998E-7</v>
      </c>
    </row>
    <row r="5" spans="1:11" x14ac:dyDescent="0.25">
      <c r="A5" t="s">
        <v>10</v>
      </c>
      <c r="B5">
        <v>-0.100645887</v>
      </c>
      <c r="C5">
        <v>-6.0981575000000003E-2</v>
      </c>
      <c r="D5">
        <f t="shared" si="0"/>
        <v>0.100645887</v>
      </c>
      <c r="E5">
        <f t="shared" si="0"/>
        <v>6.0981575000000003E-2</v>
      </c>
      <c r="F5">
        <v>0.41786652699999999</v>
      </c>
      <c r="G5">
        <v>0.70893326300000004</v>
      </c>
      <c r="H5">
        <v>0.288446178</v>
      </c>
      <c r="I5">
        <v>0.46470267500000001</v>
      </c>
      <c r="J5">
        <v>0.65828965100000003</v>
      </c>
      <c r="K5" s="1">
        <v>2.4400000000000001E-7</v>
      </c>
    </row>
    <row r="6" spans="1:11" x14ac:dyDescent="0.25">
      <c r="A6" t="s">
        <v>11</v>
      </c>
      <c r="B6">
        <v>-8.5347673999999998E-2</v>
      </c>
      <c r="C6">
        <v>1.4457307000000001E-2</v>
      </c>
      <c r="D6">
        <f t="shared" si="0"/>
        <v>8.5347673999999998E-2</v>
      </c>
      <c r="E6">
        <f t="shared" si="0"/>
        <v>1.4457307000000001E-2</v>
      </c>
      <c r="F6">
        <v>0.400578035</v>
      </c>
      <c r="G6">
        <v>0.70028901700000001</v>
      </c>
      <c r="H6">
        <v>0.27952789900000002</v>
      </c>
      <c r="I6">
        <v>0.53555468500000003</v>
      </c>
      <c r="J6">
        <v>0.91656545499999997</v>
      </c>
      <c r="K6" s="1">
        <v>6.8400000000000004E-7</v>
      </c>
    </row>
    <row r="7" spans="1:11" x14ac:dyDescent="0.25">
      <c r="A7" s="2" t="s">
        <v>12</v>
      </c>
      <c r="B7">
        <v>-5.0792616999999998E-2</v>
      </c>
      <c r="C7">
        <v>-9.0584599999999997E-4</v>
      </c>
      <c r="D7">
        <f t="shared" si="0"/>
        <v>5.0792616999999998E-2</v>
      </c>
      <c r="E7">
        <f t="shared" si="0"/>
        <v>9.0584599999999997E-4</v>
      </c>
      <c r="F7">
        <v>0.38355228600000002</v>
      </c>
      <c r="G7">
        <v>0.69177614300000001</v>
      </c>
      <c r="H7">
        <v>0.277232162</v>
      </c>
      <c r="I7">
        <v>0.71266901199999999</v>
      </c>
      <c r="J7">
        <v>0.994763018</v>
      </c>
      <c r="K7" s="1">
        <v>2.26E-6</v>
      </c>
    </row>
    <row r="8" spans="1:11" x14ac:dyDescent="0.25">
      <c r="A8" t="s">
        <v>13</v>
      </c>
      <c r="B8">
        <v>-3.1970446999999999E-2</v>
      </c>
      <c r="C8">
        <v>3.0037864000000001E-2</v>
      </c>
      <c r="D8">
        <f t="shared" si="0"/>
        <v>3.1970446999999999E-2</v>
      </c>
      <c r="E8">
        <f t="shared" si="0"/>
        <v>3.0037864000000001E-2</v>
      </c>
      <c r="F8">
        <v>0.39658434100000001</v>
      </c>
      <c r="G8">
        <v>0.69829216999999999</v>
      </c>
      <c r="H8">
        <v>0.27635145900000002</v>
      </c>
      <c r="I8">
        <v>0.81676134899999997</v>
      </c>
      <c r="J8">
        <v>0.82766353699999995</v>
      </c>
      <c r="K8" s="1">
        <v>8.8100000000000001E-7</v>
      </c>
    </row>
    <row r="9" spans="1:11" x14ac:dyDescent="0.25">
      <c r="A9" t="s">
        <v>14</v>
      </c>
      <c r="B9">
        <v>-6.4854160999999994E-2</v>
      </c>
      <c r="C9">
        <v>-3.3878653000000002E-2</v>
      </c>
      <c r="D9">
        <f t="shared" si="0"/>
        <v>6.4854160999999994E-2</v>
      </c>
      <c r="E9">
        <f t="shared" si="0"/>
        <v>3.3878653000000002E-2</v>
      </c>
      <c r="F9">
        <v>0.41607987400000002</v>
      </c>
      <c r="G9">
        <v>0.70803993700000001</v>
      </c>
      <c r="H9">
        <v>0.270689552</v>
      </c>
      <c r="I9">
        <v>0.63805516100000004</v>
      </c>
      <c r="J9">
        <v>0.80603035099999998</v>
      </c>
      <c r="K9" s="1">
        <v>2.8500000000000002E-7</v>
      </c>
    </row>
    <row r="10" spans="1:11" x14ac:dyDescent="0.25">
      <c r="A10" t="s">
        <v>15</v>
      </c>
      <c r="B10">
        <v>-6.2525496999999999E-2</v>
      </c>
      <c r="C10">
        <v>-3.3878653000000002E-2</v>
      </c>
      <c r="D10">
        <f t="shared" si="0"/>
        <v>6.2525496999999999E-2</v>
      </c>
      <c r="E10">
        <f t="shared" si="0"/>
        <v>3.3878653000000002E-2</v>
      </c>
      <c r="F10">
        <v>0.415659485</v>
      </c>
      <c r="G10">
        <v>0.70782974300000001</v>
      </c>
      <c r="H10">
        <v>0.27059958499999998</v>
      </c>
      <c r="I10">
        <v>0.65019235900000005</v>
      </c>
      <c r="J10">
        <v>0.80603035099999998</v>
      </c>
      <c r="K10" s="1">
        <v>2.8200000000000001E-7</v>
      </c>
    </row>
    <row r="11" spans="1:11" x14ac:dyDescent="0.25">
      <c r="A11" s="2" t="s">
        <v>16</v>
      </c>
      <c r="B11">
        <v>6.0278331999999997E-2</v>
      </c>
      <c r="C11">
        <v>8.6629750000000005E-2</v>
      </c>
      <c r="D11">
        <f t="shared" si="0"/>
        <v>6.0278331999999997E-2</v>
      </c>
      <c r="E11">
        <f t="shared" si="0"/>
        <v>8.6629750000000005E-2</v>
      </c>
      <c r="F11">
        <v>0.43499737300000002</v>
      </c>
      <c r="G11">
        <v>0.717498686</v>
      </c>
      <c r="H11">
        <v>0.26014288000000002</v>
      </c>
      <c r="I11">
        <v>0.66199091499999996</v>
      </c>
      <c r="J11">
        <v>0.52942055799999999</v>
      </c>
      <c r="K11" s="1">
        <v>2.1799999999999999E-7</v>
      </c>
    </row>
    <row r="12" spans="1:11" x14ac:dyDescent="0.25">
      <c r="A12" s="2" t="s">
        <v>17</v>
      </c>
      <c r="B12">
        <v>0.52106072199999998</v>
      </c>
      <c r="C12">
        <v>0.42178567099999997</v>
      </c>
      <c r="D12">
        <f t="shared" si="0"/>
        <v>0.52106072199999998</v>
      </c>
      <c r="E12">
        <f t="shared" si="0"/>
        <v>0.42178567099999997</v>
      </c>
      <c r="F12">
        <v>0.22063008100000001</v>
      </c>
      <c r="G12">
        <v>0.610315041</v>
      </c>
      <c r="H12">
        <v>0.26012941499999997</v>
      </c>
      <c r="I12">
        <v>1.4637799999999999E-4</v>
      </c>
      <c r="J12">
        <v>2.8276769999999998E-3</v>
      </c>
      <c r="K12">
        <v>1.7431528000000002E-2</v>
      </c>
    </row>
    <row r="13" spans="1:11" x14ac:dyDescent="0.25">
      <c r="A13" t="s">
        <v>18</v>
      </c>
      <c r="B13">
        <v>-6.7125139E-2</v>
      </c>
      <c r="C13">
        <v>-3.4785129999999999E-3</v>
      </c>
      <c r="D13">
        <f t="shared" si="0"/>
        <v>6.7125139E-2</v>
      </c>
      <c r="E13">
        <f t="shared" si="0"/>
        <v>3.4785129999999999E-3</v>
      </c>
      <c r="F13">
        <v>0.37272727300000003</v>
      </c>
      <c r="G13">
        <v>0.68636363600000005</v>
      </c>
      <c r="H13">
        <v>0.25664250700000002</v>
      </c>
      <c r="I13">
        <v>0.62630867700000004</v>
      </c>
      <c r="J13">
        <v>0.97989155400000005</v>
      </c>
      <c r="K13" s="1">
        <v>4.9400000000000001E-6</v>
      </c>
    </row>
    <row r="14" spans="1:11" x14ac:dyDescent="0.25">
      <c r="A14" t="s">
        <v>19</v>
      </c>
      <c r="B14">
        <v>-3.2658686999999999E-2</v>
      </c>
      <c r="C14">
        <v>1.0688987E-2</v>
      </c>
      <c r="D14">
        <f t="shared" si="0"/>
        <v>3.2658686999999999E-2</v>
      </c>
      <c r="E14">
        <f t="shared" si="0"/>
        <v>1.0688987E-2</v>
      </c>
      <c r="F14">
        <v>0.39653179199999999</v>
      </c>
      <c r="G14">
        <v>0.698265896</v>
      </c>
      <c r="H14">
        <v>0.253586007</v>
      </c>
      <c r="I14">
        <v>0.81288700000000003</v>
      </c>
      <c r="J14">
        <v>0.93826314899999996</v>
      </c>
      <c r="K14" s="1">
        <v>9.9800000000000002E-7</v>
      </c>
    </row>
    <row r="15" spans="1:11" x14ac:dyDescent="0.25">
      <c r="A15" t="s">
        <v>20</v>
      </c>
      <c r="B15">
        <v>0.1049962</v>
      </c>
      <c r="C15">
        <v>5.8807544000000003E-2</v>
      </c>
      <c r="D15">
        <f t="shared" si="0"/>
        <v>0.1049962</v>
      </c>
      <c r="E15">
        <f t="shared" si="0"/>
        <v>5.8807544000000003E-2</v>
      </c>
      <c r="F15">
        <v>0.39590120899999998</v>
      </c>
      <c r="G15">
        <v>0.69795060399999997</v>
      </c>
      <c r="H15">
        <v>0.24706529099999999</v>
      </c>
      <c r="I15">
        <v>0.44552319899999998</v>
      </c>
      <c r="J15">
        <v>0.669757767</v>
      </c>
      <c r="K15" s="1">
        <v>9.9999999999999995E-7</v>
      </c>
    </row>
    <row r="16" spans="1:11" x14ac:dyDescent="0.25">
      <c r="A16" s="3" t="s">
        <v>21</v>
      </c>
      <c r="B16">
        <v>-8.935129E-3</v>
      </c>
      <c r="C16">
        <v>1.5690111E-2</v>
      </c>
      <c r="D16">
        <f t="shared" si="0"/>
        <v>8.935129E-3</v>
      </c>
      <c r="E16">
        <f t="shared" si="0"/>
        <v>1.5690111E-2</v>
      </c>
      <c r="F16">
        <v>0.38696794499999998</v>
      </c>
      <c r="G16">
        <v>0.69348397299999998</v>
      </c>
      <c r="H16">
        <v>0.24364788900000001</v>
      </c>
      <c r="I16">
        <v>0.94837788899999997</v>
      </c>
      <c r="J16">
        <v>0.90947938399999995</v>
      </c>
      <c r="K16" s="1">
        <v>1.61E-6</v>
      </c>
    </row>
    <row r="17" spans="1:11" x14ac:dyDescent="0.25">
      <c r="A17" t="s">
        <v>22</v>
      </c>
      <c r="B17">
        <v>-8.0694617999999996E-2</v>
      </c>
      <c r="C17">
        <v>-1.3116892999999999E-2</v>
      </c>
      <c r="D17">
        <f t="shared" si="0"/>
        <v>8.0694617999999996E-2</v>
      </c>
      <c r="E17">
        <f t="shared" si="0"/>
        <v>1.3116892999999999E-2</v>
      </c>
      <c r="F17">
        <v>0.37199159199999998</v>
      </c>
      <c r="G17">
        <v>0.68599579600000005</v>
      </c>
      <c r="H17">
        <v>0.24277012100000001</v>
      </c>
      <c r="I17">
        <v>0.55810533699999998</v>
      </c>
      <c r="J17">
        <v>0.92427736400000005</v>
      </c>
      <c r="K17" s="1">
        <v>4.9699999999999998E-6</v>
      </c>
    </row>
    <row r="18" spans="1:11" x14ac:dyDescent="0.25">
      <c r="A18" t="s">
        <v>23</v>
      </c>
      <c r="B18">
        <v>-1.8360904000000001E-2</v>
      </c>
      <c r="C18">
        <v>1.6632243000000001E-2</v>
      </c>
      <c r="D18">
        <f t="shared" si="0"/>
        <v>1.8360904000000001E-2</v>
      </c>
      <c r="E18">
        <f t="shared" si="0"/>
        <v>1.6632243000000001E-2</v>
      </c>
      <c r="F18">
        <v>0.38102995299999998</v>
      </c>
      <c r="G18">
        <v>0.690514976</v>
      </c>
      <c r="H18">
        <v>0.24276268000000001</v>
      </c>
      <c r="I18">
        <v>0.89415254099999997</v>
      </c>
      <c r="J18">
        <v>0.90406875900000006</v>
      </c>
      <c r="K18" s="1">
        <v>2.5900000000000002E-6</v>
      </c>
    </row>
    <row r="19" spans="1:11" x14ac:dyDescent="0.25">
      <c r="A19" t="s">
        <v>24</v>
      </c>
      <c r="B19">
        <v>-8.1591516000000003E-2</v>
      </c>
      <c r="C19">
        <v>-1.2576565E-2</v>
      </c>
      <c r="D19">
        <f t="shared" si="0"/>
        <v>8.1591516000000003E-2</v>
      </c>
      <c r="E19">
        <f t="shared" si="0"/>
        <v>1.2576565E-2</v>
      </c>
      <c r="F19">
        <v>0.38455070899999999</v>
      </c>
      <c r="G19">
        <v>0.69227535500000004</v>
      </c>
      <c r="H19">
        <v>0.236893252</v>
      </c>
      <c r="I19">
        <v>0.55372392400000003</v>
      </c>
      <c r="J19">
        <v>0.92738806500000004</v>
      </c>
      <c r="K19" s="1">
        <v>2.03E-6</v>
      </c>
    </row>
    <row r="20" spans="1:11" x14ac:dyDescent="0.25">
      <c r="A20" s="2" t="s">
        <v>25</v>
      </c>
      <c r="B20">
        <v>0.13531147600000001</v>
      </c>
      <c r="C20">
        <v>6.0958998E-2</v>
      </c>
      <c r="D20">
        <f t="shared" si="0"/>
        <v>0.13531147600000001</v>
      </c>
      <c r="E20">
        <f t="shared" si="0"/>
        <v>6.0958998E-2</v>
      </c>
      <c r="F20">
        <v>0.32758801900000001</v>
      </c>
      <c r="G20">
        <v>0.66379400899999996</v>
      </c>
      <c r="H20">
        <v>0.23553363599999999</v>
      </c>
      <c r="I20">
        <v>0.32463040700000001</v>
      </c>
      <c r="J20">
        <v>0.65840835200000003</v>
      </c>
      <c r="K20" s="1">
        <v>9.48E-5</v>
      </c>
    </row>
    <row r="21" spans="1:11" x14ac:dyDescent="0.25">
      <c r="A21" t="s">
        <v>26</v>
      </c>
      <c r="B21">
        <v>0.12873225999999999</v>
      </c>
      <c r="C21">
        <v>5.0690697E-2</v>
      </c>
      <c r="D21">
        <f t="shared" si="0"/>
        <v>0.12873225999999999</v>
      </c>
      <c r="E21">
        <f t="shared" si="0"/>
        <v>5.0690697E-2</v>
      </c>
      <c r="F21">
        <v>0.32348922800000002</v>
      </c>
      <c r="G21">
        <v>0.66174461399999995</v>
      </c>
      <c r="H21">
        <v>0.232959466</v>
      </c>
      <c r="I21">
        <v>0.34892279500000001</v>
      </c>
      <c r="J21">
        <v>0.71322075600000001</v>
      </c>
      <c r="K21">
        <v>1.15911E-4</v>
      </c>
    </row>
    <row r="22" spans="1:11" x14ac:dyDescent="0.25">
      <c r="A22" t="s">
        <v>27</v>
      </c>
      <c r="B22">
        <v>0.12526203599999999</v>
      </c>
      <c r="C22">
        <v>6.7974486000000001E-2</v>
      </c>
      <c r="D22">
        <f t="shared" si="0"/>
        <v>0.12526203599999999</v>
      </c>
      <c r="E22">
        <f t="shared" si="0"/>
        <v>6.7974486000000001E-2</v>
      </c>
      <c r="F22">
        <v>0.32411981099999998</v>
      </c>
      <c r="G22">
        <v>0.662059905</v>
      </c>
      <c r="H22">
        <v>0.23214694699999999</v>
      </c>
      <c r="I22">
        <v>0.36217585200000002</v>
      </c>
      <c r="J22">
        <v>0.621938832</v>
      </c>
      <c r="K22">
        <v>1.12376E-4</v>
      </c>
    </row>
    <row r="23" spans="1:11" x14ac:dyDescent="0.25">
      <c r="A23" t="s">
        <v>28</v>
      </c>
      <c r="B23">
        <v>-0.116081568</v>
      </c>
      <c r="C23">
        <v>-0.21360958499999999</v>
      </c>
      <c r="D23">
        <f t="shared" si="0"/>
        <v>0.116081568</v>
      </c>
      <c r="E23">
        <f t="shared" si="0"/>
        <v>0.21360958499999999</v>
      </c>
      <c r="F23">
        <v>0.32548607499999999</v>
      </c>
      <c r="G23">
        <v>0.66274303700000003</v>
      </c>
      <c r="H23">
        <v>0.23070955500000001</v>
      </c>
      <c r="I23">
        <v>0.39868682700000002</v>
      </c>
      <c r="J23">
        <v>0.117367624</v>
      </c>
      <c r="K23">
        <v>1.0523599999999999E-4</v>
      </c>
    </row>
    <row r="24" spans="1:11" x14ac:dyDescent="0.25">
      <c r="A24" t="s">
        <v>29</v>
      </c>
      <c r="B24">
        <v>-0.114957104</v>
      </c>
      <c r="C24">
        <v>-0.21360958499999999</v>
      </c>
      <c r="D24">
        <f t="shared" si="0"/>
        <v>0.114957104</v>
      </c>
      <c r="E24">
        <f t="shared" si="0"/>
        <v>0.21360958499999999</v>
      </c>
      <c r="F24">
        <v>0.32706253299999999</v>
      </c>
      <c r="G24">
        <v>0.66353126600000001</v>
      </c>
      <c r="H24">
        <v>0.23068350400000001</v>
      </c>
      <c r="I24">
        <v>0.40330206000000002</v>
      </c>
      <c r="J24">
        <v>0.117367624</v>
      </c>
      <c r="K24" s="1">
        <v>9.7399999999999996E-5</v>
      </c>
    </row>
    <row r="25" spans="1:11" x14ac:dyDescent="0.25">
      <c r="A25" t="s">
        <v>30</v>
      </c>
      <c r="B25">
        <v>5.6200253999999998E-2</v>
      </c>
      <c r="C25">
        <v>6.4936156999999994E-2</v>
      </c>
      <c r="D25">
        <f t="shared" si="0"/>
        <v>5.6200253999999998E-2</v>
      </c>
      <c r="E25">
        <f t="shared" si="0"/>
        <v>6.4936156999999994E-2</v>
      </c>
      <c r="F25">
        <v>0.40105097200000001</v>
      </c>
      <c r="G25">
        <v>0.70052548599999998</v>
      </c>
      <c r="H25">
        <v>0.22801827399999999</v>
      </c>
      <c r="I25">
        <v>0.683610418</v>
      </c>
      <c r="J25">
        <v>0.63762948200000003</v>
      </c>
      <c r="K25" s="1">
        <v>1.7600000000000001E-6</v>
      </c>
    </row>
    <row r="26" spans="1:11" x14ac:dyDescent="0.25">
      <c r="A26" s="2" t="s">
        <v>31</v>
      </c>
      <c r="B26">
        <v>0.30272755699999998</v>
      </c>
      <c r="C26">
        <v>0.178506792</v>
      </c>
      <c r="D26">
        <f t="shared" si="0"/>
        <v>0.30272755699999998</v>
      </c>
      <c r="E26">
        <f t="shared" si="0"/>
        <v>0.178506792</v>
      </c>
      <c r="F26">
        <v>0.35170783</v>
      </c>
      <c r="G26">
        <v>0.67585391500000003</v>
      </c>
      <c r="H26">
        <v>0.21296836799999999</v>
      </c>
      <c r="I26">
        <v>2.4670682999999999E-2</v>
      </c>
      <c r="J26">
        <v>0.19225536300000001</v>
      </c>
      <c r="K26" s="1">
        <v>1.43E-5</v>
      </c>
    </row>
    <row r="27" spans="1:11" x14ac:dyDescent="0.25">
      <c r="A27" t="s">
        <v>32</v>
      </c>
      <c r="B27">
        <v>0.28483128400000002</v>
      </c>
      <c r="C27">
        <v>0.146667297</v>
      </c>
      <c r="D27">
        <f t="shared" si="0"/>
        <v>0.28483128400000002</v>
      </c>
      <c r="E27">
        <f t="shared" si="0"/>
        <v>0.146667297</v>
      </c>
      <c r="F27">
        <v>0.36195480800000002</v>
      </c>
      <c r="G27">
        <v>0.68097740399999995</v>
      </c>
      <c r="H27">
        <v>0.212784576</v>
      </c>
      <c r="I27">
        <v>3.5055037999999997E-2</v>
      </c>
      <c r="J27">
        <v>0.28528529800000002</v>
      </c>
      <c r="K27" s="1">
        <v>7.1999999999999997E-6</v>
      </c>
    </row>
    <row r="28" spans="1:11" x14ac:dyDescent="0.25">
      <c r="A28" t="s">
        <v>33</v>
      </c>
      <c r="B28">
        <v>0.30640458999999998</v>
      </c>
      <c r="C28">
        <v>0.21000701399999999</v>
      </c>
      <c r="D28">
        <f t="shared" si="0"/>
        <v>0.30640458999999998</v>
      </c>
      <c r="E28">
        <f t="shared" si="0"/>
        <v>0.21000701399999999</v>
      </c>
      <c r="F28">
        <v>0.34855491300000002</v>
      </c>
      <c r="G28">
        <v>0.67427745699999997</v>
      </c>
      <c r="H28">
        <v>0.212007639</v>
      </c>
      <c r="I28">
        <v>2.2894482000000001E-2</v>
      </c>
      <c r="J28">
        <v>0.12382916099999999</v>
      </c>
      <c r="K28" s="1">
        <v>1.66E-5</v>
      </c>
    </row>
    <row r="29" spans="1:11" x14ac:dyDescent="0.25">
      <c r="A29" s="2" t="s">
        <v>34</v>
      </c>
      <c r="B29">
        <v>-0.17400722699999999</v>
      </c>
      <c r="C29">
        <v>-0.24846395900000001</v>
      </c>
      <c r="D29">
        <f t="shared" si="0"/>
        <v>0.17400722699999999</v>
      </c>
      <c r="E29">
        <f t="shared" si="0"/>
        <v>0.24846395900000001</v>
      </c>
      <c r="F29">
        <v>0.10162900699999999</v>
      </c>
      <c r="G29">
        <v>0.55081450300000001</v>
      </c>
      <c r="H29">
        <v>0.20456376200000001</v>
      </c>
      <c r="I29">
        <v>0.20388877</v>
      </c>
      <c r="J29">
        <v>6.7379435000000001E-2</v>
      </c>
      <c r="K29">
        <v>0.22609210699999999</v>
      </c>
    </row>
    <row r="30" spans="1:11" x14ac:dyDescent="0.25">
      <c r="A30" s="3" t="s">
        <v>35</v>
      </c>
      <c r="B30">
        <v>-6.8336109999999999E-3</v>
      </c>
      <c r="C30">
        <v>-0.11895320500000001</v>
      </c>
      <c r="D30">
        <f t="shared" si="0"/>
        <v>6.8336109999999999E-3</v>
      </c>
      <c r="E30">
        <f t="shared" si="0"/>
        <v>0.11895320500000001</v>
      </c>
      <c r="F30">
        <v>0.30951129799999999</v>
      </c>
      <c r="G30">
        <v>0.65475564900000005</v>
      </c>
      <c r="H30">
        <v>0.20301409300000001</v>
      </c>
      <c r="I30">
        <v>0.960508154</v>
      </c>
      <c r="J30">
        <v>0.38704159799999999</v>
      </c>
      <c r="K30">
        <v>2.26183E-4</v>
      </c>
    </row>
    <row r="31" spans="1:11" x14ac:dyDescent="0.25">
      <c r="A31" t="s">
        <v>36</v>
      </c>
      <c r="B31">
        <v>5.4112889999999997E-2</v>
      </c>
      <c r="C31">
        <v>4.1507075999999997E-2</v>
      </c>
      <c r="D31">
        <f t="shared" si="0"/>
        <v>5.4112889999999997E-2</v>
      </c>
      <c r="E31">
        <f t="shared" si="0"/>
        <v>4.1507075999999997E-2</v>
      </c>
      <c r="F31">
        <v>0.309563847</v>
      </c>
      <c r="G31">
        <v>0.65478192300000004</v>
      </c>
      <c r="H31">
        <v>0.198353205</v>
      </c>
      <c r="I31">
        <v>0.69477600500000003</v>
      </c>
      <c r="J31">
        <v>0.76350293700000005</v>
      </c>
      <c r="K31">
        <v>2.2562299999999999E-4</v>
      </c>
    </row>
    <row r="32" spans="1:11" x14ac:dyDescent="0.25">
      <c r="A32" t="s">
        <v>37</v>
      </c>
      <c r="B32">
        <v>5.4112889999999997E-2</v>
      </c>
      <c r="C32">
        <v>4.1507075999999997E-2</v>
      </c>
      <c r="D32">
        <f t="shared" si="0"/>
        <v>5.4112889999999997E-2</v>
      </c>
      <c r="E32">
        <f t="shared" si="0"/>
        <v>4.1507075999999997E-2</v>
      </c>
      <c r="F32">
        <v>0.309563847</v>
      </c>
      <c r="G32">
        <v>0.65478192300000004</v>
      </c>
      <c r="H32">
        <v>0.198353205</v>
      </c>
      <c r="I32">
        <v>0.69477600500000003</v>
      </c>
      <c r="J32">
        <v>0.76350293700000005</v>
      </c>
      <c r="K32">
        <v>2.2562299999999999E-4</v>
      </c>
    </row>
    <row r="33" spans="1:11" x14ac:dyDescent="0.25">
      <c r="A33" t="s">
        <v>38</v>
      </c>
      <c r="B33">
        <v>5.4112889999999997E-2</v>
      </c>
      <c r="C33">
        <v>4.1507075999999997E-2</v>
      </c>
      <c r="D33">
        <f t="shared" si="0"/>
        <v>5.4112889999999997E-2</v>
      </c>
      <c r="E33">
        <f t="shared" si="0"/>
        <v>4.1507075999999997E-2</v>
      </c>
      <c r="F33">
        <v>0.309563847</v>
      </c>
      <c r="G33">
        <v>0.65478192300000004</v>
      </c>
      <c r="H33">
        <v>0.198353205</v>
      </c>
      <c r="I33">
        <v>0.69477600500000003</v>
      </c>
      <c r="J33">
        <v>0.76350293700000005</v>
      </c>
      <c r="K33">
        <v>2.2562299999999999E-4</v>
      </c>
    </row>
    <row r="34" spans="1:11" x14ac:dyDescent="0.25">
      <c r="A34" t="s">
        <v>39</v>
      </c>
      <c r="B34">
        <v>-0.20662939799999999</v>
      </c>
      <c r="C34">
        <v>-0.178436228</v>
      </c>
      <c r="D34">
        <f t="shared" si="0"/>
        <v>0.20662939799999999</v>
      </c>
      <c r="E34">
        <f t="shared" si="0"/>
        <v>0.178436228</v>
      </c>
      <c r="F34">
        <v>0.27740409900000002</v>
      </c>
      <c r="G34">
        <v>0.63870204900000005</v>
      </c>
      <c r="H34">
        <v>0.19656101600000001</v>
      </c>
      <c r="I34">
        <v>0.13012884399999999</v>
      </c>
      <c r="J34">
        <v>0.19243406199999999</v>
      </c>
      <c r="K34">
        <v>9.3815499999999998E-4</v>
      </c>
    </row>
    <row r="35" spans="1:11" x14ac:dyDescent="0.25">
      <c r="A35" s="2" t="s">
        <v>40</v>
      </c>
      <c r="B35">
        <v>5.5172629999999997E-3</v>
      </c>
      <c r="C35">
        <v>7.4481340000000004E-3</v>
      </c>
      <c r="D35">
        <f t="shared" si="0"/>
        <v>5.5172629999999997E-3</v>
      </c>
      <c r="E35">
        <f t="shared" si="0"/>
        <v>7.4481340000000004E-3</v>
      </c>
      <c r="F35">
        <v>0.33589069900000001</v>
      </c>
      <c r="G35">
        <v>0.66794534900000002</v>
      </c>
      <c r="H35">
        <v>0.196330851</v>
      </c>
      <c r="I35">
        <v>0.96811100000000005</v>
      </c>
      <c r="J35">
        <v>0.95695999799999998</v>
      </c>
      <c r="K35" s="1">
        <v>6.2799999999999995E-5</v>
      </c>
    </row>
    <row r="36" spans="1:11" x14ac:dyDescent="0.25">
      <c r="A36" t="s">
        <v>41</v>
      </c>
      <c r="B36">
        <v>6.4143209999999997E-3</v>
      </c>
      <c r="C36">
        <v>-1.4462399999999999E-4</v>
      </c>
      <c r="D36">
        <f t="shared" si="0"/>
        <v>6.4143209999999997E-3</v>
      </c>
      <c r="E36">
        <f t="shared" si="0"/>
        <v>1.4462399999999999E-4</v>
      </c>
      <c r="F36">
        <v>0.32128218600000003</v>
      </c>
      <c r="G36">
        <v>0.66064109299999996</v>
      </c>
      <c r="H36">
        <v>0.195629475</v>
      </c>
      <c r="I36">
        <v>0.96292950499999996</v>
      </c>
      <c r="J36">
        <v>0.99916387799999995</v>
      </c>
      <c r="K36">
        <v>1.2913900000000001E-4</v>
      </c>
    </row>
    <row r="37" spans="1:11" x14ac:dyDescent="0.25">
      <c r="A37" s="2" t="s">
        <v>42</v>
      </c>
      <c r="B37">
        <v>0.16455936600000001</v>
      </c>
      <c r="C37">
        <v>-4.5267298999999997E-2</v>
      </c>
      <c r="D37">
        <f t="shared" si="0"/>
        <v>0.16455936600000001</v>
      </c>
      <c r="E37">
        <f t="shared" si="0"/>
        <v>4.5267298999999997E-2</v>
      </c>
      <c r="F37">
        <v>0.26463478699999998</v>
      </c>
      <c r="G37">
        <v>0.63231739399999998</v>
      </c>
      <c r="H37">
        <v>0.19390692800000001</v>
      </c>
      <c r="I37">
        <v>0.22991459</v>
      </c>
      <c r="J37">
        <v>0.74278414400000004</v>
      </c>
      <c r="K37">
        <v>1.615867E-3</v>
      </c>
    </row>
    <row r="38" spans="1:11" x14ac:dyDescent="0.25">
      <c r="A38" t="s">
        <v>43</v>
      </c>
      <c r="B38">
        <v>0.10359550300000001</v>
      </c>
      <c r="C38">
        <v>0.16353417000000001</v>
      </c>
      <c r="D38">
        <f t="shared" si="0"/>
        <v>0.10359550300000001</v>
      </c>
      <c r="E38">
        <f t="shared" si="0"/>
        <v>0.16353417000000001</v>
      </c>
      <c r="F38">
        <v>0.33594324800000003</v>
      </c>
      <c r="G38">
        <v>0.66797162399999999</v>
      </c>
      <c r="H38">
        <v>0.18779749000000001</v>
      </c>
      <c r="I38">
        <v>0.45165020700000003</v>
      </c>
      <c r="J38">
        <v>0.232870717</v>
      </c>
      <c r="K38" s="1">
        <v>2.9E-5</v>
      </c>
    </row>
    <row r="39" spans="1:11" x14ac:dyDescent="0.25">
      <c r="A39" t="s">
        <v>44</v>
      </c>
      <c r="B39">
        <v>8.7349407000000004E-2</v>
      </c>
      <c r="C39">
        <v>0.17940809999999999</v>
      </c>
      <c r="D39">
        <f t="shared" si="0"/>
        <v>8.7349407000000004E-2</v>
      </c>
      <c r="E39">
        <f t="shared" si="0"/>
        <v>0.17940809999999999</v>
      </c>
      <c r="F39">
        <v>0.33263268499999998</v>
      </c>
      <c r="G39">
        <v>0.66631634299999998</v>
      </c>
      <c r="H39">
        <v>0.18692125000000001</v>
      </c>
      <c r="I39">
        <v>0.52599262099999999</v>
      </c>
      <c r="J39">
        <v>0.18998324799999999</v>
      </c>
      <c r="K39" s="1">
        <v>3.7700000000000002E-5</v>
      </c>
    </row>
    <row r="40" spans="1:11" x14ac:dyDescent="0.25">
      <c r="A40" t="s">
        <v>45</v>
      </c>
      <c r="B40">
        <v>8.7216130000000003E-2</v>
      </c>
      <c r="C40">
        <v>0.17194531099999999</v>
      </c>
      <c r="D40">
        <f t="shared" si="0"/>
        <v>8.7216130000000003E-2</v>
      </c>
      <c r="E40">
        <f t="shared" si="0"/>
        <v>0.17194531099999999</v>
      </c>
      <c r="F40">
        <v>0.32937467199999998</v>
      </c>
      <c r="G40">
        <v>0.66468733599999996</v>
      </c>
      <c r="H40">
        <v>0.185852773</v>
      </c>
      <c r="I40">
        <v>0.52662662599999999</v>
      </c>
      <c r="J40">
        <v>0.20938274000000001</v>
      </c>
      <c r="K40" s="1">
        <v>4.32E-5</v>
      </c>
    </row>
    <row r="41" spans="1:11" x14ac:dyDescent="0.25">
      <c r="A41" s="2" t="s">
        <v>46</v>
      </c>
      <c r="B41">
        <v>1.7960464999999998E-2</v>
      </c>
      <c r="C41">
        <v>-3.5939052999999999E-2</v>
      </c>
      <c r="D41">
        <f t="shared" si="0"/>
        <v>1.7960464999999998E-2</v>
      </c>
      <c r="E41">
        <f t="shared" si="0"/>
        <v>3.5939052999999999E-2</v>
      </c>
      <c r="F41">
        <v>0.23857067800000001</v>
      </c>
      <c r="G41">
        <v>0.61928533900000005</v>
      </c>
      <c r="H41">
        <v>0.18349064300000001</v>
      </c>
      <c r="I41">
        <v>0.89644823200000001</v>
      </c>
      <c r="J41">
        <v>0.79448323300000001</v>
      </c>
      <c r="K41">
        <v>4.4772299999999996E-3</v>
      </c>
    </row>
    <row r="42" spans="1:11" x14ac:dyDescent="0.25">
      <c r="A42" t="s">
        <v>47</v>
      </c>
      <c r="B42">
        <v>0.18934609299999999</v>
      </c>
      <c r="C42">
        <v>0.216863624</v>
      </c>
      <c r="D42">
        <f t="shared" si="0"/>
        <v>0.18934609299999999</v>
      </c>
      <c r="E42">
        <f t="shared" si="0"/>
        <v>0.216863624</v>
      </c>
      <c r="F42">
        <v>0.29942196500000001</v>
      </c>
      <c r="G42">
        <v>0.64971098299999996</v>
      </c>
      <c r="H42">
        <v>0.18244268899999999</v>
      </c>
      <c r="I42">
        <v>0.1661945</v>
      </c>
      <c r="J42">
        <v>0.11175513099999999</v>
      </c>
      <c r="K42">
        <v>3.6028500000000001E-4</v>
      </c>
    </row>
    <row r="43" spans="1:11" x14ac:dyDescent="0.25">
      <c r="A43" t="s">
        <v>48</v>
      </c>
      <c r="B43">
        <v>7.9147469999999998E-3</v>
      </c>
      <c r="C43">
        <v>4.5325901000000002E-2</v>
      </c>
      <c r="D43">
        <f t="shared" si="0"/>
        <v>7.9147469999999998E-3</v>
      </c>
      <c r="E43">
        <f t="shared" si="0"/>
        <v>4.5325901000000002E-2</v>
      </c>
      <c r="F43">
        <v>0.307304256</v>
      </c>
      <c r="G43">
        <v>0.65365212800000005</v>
      </c>
      <c r="H43">
        <v>0.17969733900000001</v>
      </c>
      <c r="I43">
        <v>0.95426639899999999</v>
      </c>
      <c r="J43">
        <v>0.74246262799999996</v>
      </c>
      <c r="K43">
        <v>1.4041699999999999E-4</v>
      </c>
    </row>
    <row r="44" spans="1:11" x14ac:dyDescent="0.25">
      <c r="A44" t="s">
        <v>49</v>
      </c>
      <c r="B44">
        <v>3.9097661999999998E-2</v>
      </c>
      <c r="C44">
        <v>6.2418438999999999E-2</v>
      </c>
      <c r="D44">
        <f t="shared" si="0"/>
        <v>3.9097661999999998E-2</v>
      </c>
      <c r="E44">
        <f t="shared" si="0"/>
        <v>6.2418438999999999E-2</v>
      </c>
      <c r="F44">
        <v>0.30557015199999998</v>
      </c>
      <c r="G44">
        <v>0.65278507600000002</v>
      </c>
      <c r="H44">
        <v>0.17967365199999999</v>
      </c>
      <c r="I44">
        <v>0.77686683999999995</v>
      </c>
      <c r="J44">
        <v>0.65075256000000004</v>
      </c>
      <c r="K44">
        <v>1.4293500000000001E-4</v>
      </c>
    </row>
    <row r="45" spans="1:11" x14ac:dyDescent="0.25">
      <c r="A45" t="s">
        <v>50</v>
      </c>
      <c r="B45">
        <v>3.4886589999999999E-3</v>
      </c>
      <c r="C45">
        <v>2.5612672999999999E-2</v>
      </c>
      <c r="D45">
        <f t="shared" si="0"/>
        <v>3.4886589999999999E-3</v>
      </c>
      <c r="E45">
        <f t="shared" si="0"/>
        <v>2.5612672999999999E-2</v>
      </c>
      <c r="F45">
        <v>0.290646348</v>
      </c>
      <c r="G45">
        <v>0.64532317400000005</v>
      </c>
      <c r="H45">
        <v>0.17497790899999999</v>
      </c>
      <c r="I45">
        <v>0.97983291299999997</v>
      </c>
      <c r="J45">
        <v>0.85274578899999998</v>
      </c>
      <c r="K45">
        <v>3.0763200000000001E-4</v>
      </c>
    </row>
    <row r="46" spans="1:11" x14ac:dyDescent="0.25">
      <c r="A46" t="s">
        <v>51</v>
      </c>
      <c r="B46">
        <v>0.15451108199999999</v>
      </c>
      <c r="C46">
        <v>0.10784215900000001</v>
      </c>
      <c r="D46">
        <f t="shared" si="0"/>
        <v>0.15451108199999999</v>
      </c>
      <c r="E46">
        <f t="shared" si="0"/>
        <v>0.10784215900000001</v>
      </c>
      <c r="F46">
        <v>0.123699422</v>
      </c>
      <c r="G46">
        <v>0.56184971100000003</v>
      </c>
      <c r="H46">
        <v>0.164278543</v>
      </c>
      <c r="I46">
        <v>0.26001943900000002</v>
      </c>
      <c r="J46">
        <v>0.43321710800000002</v>
      </c>
      <c r="K46">
        <v>0.14028721</v>
      </c>
    </row>
    <row r="47" spans="1:11" x14ac:dyDescent="0.25">
      <c r="A47" t="s">
        <v>52</v>
      </c>
      <c r="B47">
        <v>-6.2443603E-2</v>
      </c>
      <c r="C47">
        <v>-4.1763181000000003E-2</v>
      </c>
      <c r="D47">
        <f t="shared" si="0"/>
        <v>6.2443603E-2</v>
      </c>
      <c r="E47">
        <f t="shared" si="0"/>
        <v>4.1763181000000003E-2</v>
      </c>
      <c r="F47">
        <v>0.10793484</v>
      </c>
      <c r="G47">
        <v>0.55396741999999999</v>
      </c>
      <c r="H47">
        <v>0.14277059</v>
      </c>
      <c r="I47">
        <v>0.65062086699999999</v>
      </c>
      <c r="J47">
        <v>0.76208637999999995</v>
      </c>
      <c r="K47">
        <v>0.198564133</v>
      </c>
    </row>
    <row r="48" spans="1:11" x14ac:dyDescent="0.25">
      <c r="A48" t="s">
        <v>53</v>
      </c>
      <c r="B48">
        <v>-0.19328790600000001</v>
      </c>
      <c r="C48">
        <v>-8.2998958999999997E-2</v>
      </c>
      <c r="D48">
        <f t="shared" si="0"/>
        <v>0.19328790600000001</v>
      </c>
      <c r="E48">
        <f t="shared" si="0"/>
        <v>8.2998958999999997E-2</v>
      </c>
      <c r="F48">
        <v>5.7330530999999997E-2</v>
      </c>
      <c r="G48">
        <v>0.528665265</v>
      </c>
      <c r="H48">
        <v>0.13824671999999999</v>
      </c>
      <c r="I48">
        <v>0.157388422</v>
      </c>
      <c r="J48">
        <v>0.54688162799999995</v>
      </c>
      <c r="K48">
        <v>0.49486371000000001</v>
      </c>
    </row>
    <row r="49" spans="1:11" x14ac:dyDescent="0.25">
      <c r="A49" t="s">
        <v>54</v>
      </c>
      <c r="B49">
        <v>-0.13472226400000001</v>
      </c>
      <c r="C49">
        <v>-8.3303399E-2</v>
      </c>
      <c r="D49">
        <f t="shared" si="0"/>
        <v>0.13472226400000001</v>
      </c>
      <c r="E49">
        <f t="shared" si="0"/>
        <v>8.3303399E-2</v>
      </c>
      <c r="F49">
        <v>-4.1355754000000002E-2</v>
      </c>
      <c r="G49">
        <v>0.47932212299999999</v>
      </c>
      <c r="H49">
        <v>0.13207559099999999</v>
      </c>
      <c r="I49">
        <v>0.32676126799999999</v>
      </c>
      <c r="J49">
        <v>0.545406956</v>
      </c>
      <c r="K49">
        <v>0.62257047799999998</v>
      </c>
    </row>
    <row r="50" spans="1:11" x14ac:dyDescent="0.25">
      <c r="A50" s="2" t="s">
        <v>55</v>
      </c>
      <c r="B50">
        <v>0.237516962</v>
      </c>
      <c r="C50">
        <v>0.19820713400000001</v>
      </c>
      <c r="D50">
        <f t="shared" si="0"/>
        <v>0.237516962</v>
      </c>
      <c r="E50">
        <f t="shared" si="0"/>
        <v>0.19820713400000001</v>
      </c>
      <c r="F50">
        <v>-0.22900683099999999</v>
      </c>
      <c r="G50">
        <v>0.38549658399999998</v>
      </c>
      <c r="H50">
        <v>0.114086567</v>
      </c>
      <c r="I50">
        <v>8.0794154000000007E-2</v>
      </c>
      <c r="J50">
        <v>0.146886664</v>
      </c>
      <c r="K50">
        <v>6.3632970000000004E-3</v>
      </c>
    </row>
  </sheetData>
  <conditionalFormatting sqref="H1:H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Hallee, Logan</cp:lastModifiedBy>
  <dcterms:created xsi:type="dcterms:W3CDTF">2025-11-18T15:33:11Z</dcterms:created>
  <dcterms:modified xsi:type="dcterms:W3CDTF">2025-11-18T15:33:11Z</dcterms:modified>
</cp:coreProperties>
</file>